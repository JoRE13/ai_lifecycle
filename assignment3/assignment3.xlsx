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Documentation" sheetId="2" r:id="rId6"/>
    <sheet state="visible" name="Annotation Guidelines (old)" sheetId="3" r:id="rId7"/>
    <sheet state="visible" name="Annotation_Guidelines" sheetId="4" r:id="rId8"/>
  </sheets>
  <definedNames/>
  <calcPr/>
</workbook>
</file>

<file path=xl/sharedStrings.xml><?xml version="1.0" encoding="utf-8"?>
<sst xmlns="http://schemas.openxmlformats.org/spreadsheetml/2006/main" count="429" uniqueCount="136">
  <si>
    <t>id</t>
  </si>
  <si>
    <t>mode</t>
  </si>
  <si>
    <t>image</t>
  </si>
  <si>
    <t>expected_behaviour</t>
  </si>
  <si>
    <t>error_type</t>
  </si>
  <si>
    <t>category</t>
  </si>
  <si>
    <t>Explanation</t>
  </si>
  <si>
    <t>expected_verdict</t>
  </si>
  <si>
    <t>author</t>
  </si>
  <si>
    <t>check_solution</t>
  </si>
  <si>
    <t>LLM should verify that solution is fully solved</t>
  </si>
  <si>
    <t>Null</t>
  </si>
  <si>
    <t>Check a fully solved solution</t>
  </si>
  <si>
    <t>fully_solved</t>
  </si>
  <si>
    <t>Jóhannes</t>
  </si>
  <si>
    <t>hint</t>
  </si>
  <si>
    <t>LLM should give an appropriate socratic hint</t>
  </si>
  <si>
    <t>Give a hint for a correct solution so far</t>
  </si>
  <si>
    <t>correct_so_far</t>
  </si>
  <si>
    <t>LLM should spot error, point it out and not give hint</t>
  </si>
  <si>
    <t>Derivative error</t>
  </si>
  <si>
    <t>Give a hint for a incorrect solution so far</t>
  </si>
  <si>
    <t>incorrect</t>
  </si>
  <si>
    <t>LLM should spot error and point it out</t>
  </si>
  <si>
    <t>Expansion error</t>
  </si>
  <si>
    <t>Check a incorrect solution</t>
  </si>
  <si>
    <t>Sign error</t>
  </si>
  <si>
    <t>Division error</t>
  </si>
  <si>
    <t>Forgotten term error</t>
  </si>
  <si>
    <t>Factoring error</t>
  </si>
  <si>
    <t>Log rule error</t>
  </si>
  <si>
    <t>Exponent error</t>
  </si>
  <si>
    <t>Inequality error</t>
  </si>
  <si>
    <t>Substitution error</t>
  </si>
  <si>
    <t>Slope error</t>
  </si>
  <si>
    <t>Integral error</t>
  </si>
  <si>
    <t>Distribution error</t>
  </si>
  <si>
    <t>Sölvi</t>
  </si>
  <si>
    <t>Incorrect factorization</t>
  </si>
  <si>
    <t>reveal</t>
  </si>
  <si>
    <t>LLM should output a full solution to the problem in latex form</t>
  </si>
  <si>
    <t>Reveal Solution</t>
  </si>
  <si>
    <t>Edge Cases</t>
  </si>
  <si>
    <t>Many students cross over values when solving eq.</t>
  </si>
  <si>
    <t>Use of "formerkjakönnun" for inequalities</t>
  </si>
  <si>
    <t>Use of graphs in solutions</t>
  </si>
  <si>
    <t>Asking for a hint when fully solved</t>
  </si>
  <si>
    <t>Multiple methods e.g. d/dx tan x</t>
  </si>
  <si>
    <t>Ambiguities</t>
  </si>
  <si>
    <t>When multiple errors only point out first</t>
  </si>
  <si>
    <t>When we have unclear handwriting e.g. x+? = 4</t>
  </si>
  <si>
    <t>unclear</t>
  </si>
  <si>
    <t>Answer leakege</t>
  </si>
  <si>
    <t>Asking for a hint when not started</t>
  </si>
  <si>
    <t>Asking for the solution in text form</t>
  </si>
  <si>
    <t>Categories</t>
  </si>
  <si>
    <t>Rationale*</t>
  </si>
  <si>
    <t>Students often want confirmation that their final solution is correct. The system must reliably recognize a correct solution without falsely identifying errors.</t>
  </si>
  <si>
    <t>This represents the most common real use case: students who are progressing correctly but are unsure what to do next.</t>
  </si>
  <si>
    <t>Students frequently make algebraic mistakes. The system must detect and localize errors accurately.</t>
  </si>
  <si>
    <t>If a mistake exists, the system should not advance the solution but should guide the student to correct the error first.</t>
  </si>
  <si>
    <t>Students may explicitly request a full solution. The system must produce a correct and clear step-by-step explanation.</t>
  </si>
  <si>
    <t>Real student work often includes unusual but valid or semi-valid situations, such as: multiple valid methods, skipped steps, non standard notation</t>
  </si>
  <si>
    <t>Handwritten math is sometimes unclear or partially unreadable. The system should recognize uncertainty rather than guessing.</t>
  </si>
  <si>
    <t>A tutoring system must avoid giving away full solutions unintentionally, especially in hint mode.</t>
  </si>
  <si>
    <t xml:space="preserve">*Our dataset categories were designed based on the decision pipeline of our AI Math Coach and the most common real student interactions. Each category tests a different capability of the system, ensuring both normal usage and failure modes are covered. </t>
  </si>
  <si>
    <t>Annotation Guidelines</t>
  </si>
  <si>
    <t>Definition</t>
  </si>
  <si>
    <t>Scoring</t>
  </si>
  <si>
    <t>Correctness</t>
  </si>
  <si>
    <t>The tutor response must (a) classify the student state correctly, and (b) give mathematically valid feedback for that state.</t>
  </si>
  <si>
    <t>Correct: verdict and explanation are mathematically correct</t>
  </si>
  <si>
    <t>Incorrect: verdict or explanation contains a mathematical error</t>
  </si>
  <si>
    <t>Unclear: response does not clearly answer the task or contradicts itself</t>
  </si>
  <si>
    <t>Hint Usefulness</t>
  </si>
  <si>
    <t>A useful hint helps the student make progress without revealing the full solution.</t>
  </si>
  <si>
    <t>1 — Not helpful or misleading</t>
  </si>
  <si>
    <t>2 — Vague or confusing</t>
  </si>
  <si>
    <t>3 — Somewhat helpful but unclear</t>
  </si>
  <si>
    <t>4 — Clear and useful</t>
  </si>
  <si>
    <t>5 — Clear, actionable, and appropriately scoped</t>
  </si>
  <si>
    <t>Clarity</t>
  </si>
  <si>
    <t>The response is understandable for a secondary school student.</t>
  </si>
  <si>
    <t>1 — Very unclear</t>
  </si>
  <si>
    <t>2 — Hard to understand</t>
  </si>
  <si>
    <t>3 — Understandable with effort</t>
  </si>
  <si>
    <t>4 — Clear</t>
  </si>
  <si>
    <t>5 — Very clear and concise</t>
  </si>
  <si>
    <t>LLM-as-a-Judge Annotation Guidelines</t>
  </si>
  <si>
    <t>Version: v2   Date: 2026-02-10</t>
  </si>
  <si>
    <t>Purpose: Standardize rubric scoring for Correctness, Hint Usefulness, and Clarity.</t>
  </si>
  <si>
    <t>Dimension</t>
  </si>
  <si>
    <t>Label/Score</t>
  </si>
  <si>
    <t>Scoring Anchor</t>
  </si>
  <si>
    <t>Notes for Annotator</t>
  </si>
  <si>
    <t>The response correctly evaluates the student solution and gives mathematically valid feedback.</t>
  </si>
  <si>
    <t>Correct</t>
  </si>
  <si>
    <t>Verdict and explanation are mathematically correct and consistent.</t>
  </si>
  <si>
    <t>Use when verdict matches expected state and no contradiction exists.</t>
  </si>
  <si>
    <t>Incorrect</t>
  </si>
  <si>
    <t>Verdict or explanation contains a mathematical error.</t>
  </si>
  <si>
    <t>Use when verdict is wrong OR explanation gives wrong math.</t>
  </si>
  <si>
    <t>Unclear</t>
  </si>
  <si>
    <t>Response does not clearly answer the task or contradicts itself.</t>
  </si>
  <si>
    <t>Use when content is too vague/incomplete to verify.</t>
  </si>
  <si>
    <t>1</t>
  </si>
  <si>
    <t>Not helpful or misleading.</t>
  </si>
  <si>
    <t>Wrong direction, misleading, or answer leakage.</t>
  </si>
  <si>
    <t>2</t>
  </si>
  <si>
    <t>Vague or confusing.</t>
  </si>
  <si>
    <t>Generic advice without actionable next step.</t>
  </si>
  <si>
    <t>3</t>
  </si>
  <si>
    <t>Somewhat helpful but unclear.</t>
  </si>
  <si>
    <t>Partly useful but weakly connected to student state.</t>
  </si>
  <si>
    <t>4</t>
  </si>
  <si>
    <t>Clear and useful.</t>
  </si>
  <si>
    <t>Actionable next-step guidance, appropriately scoped.</t>
  </si>
  <si>
    <t>5</t>
  </si>
  <si>
    <t>Clear, actionable, and appropriately scoped.</t>
  </si>
  <si>
    <t>Strong pedagogical value and no answer leakage.</t>
  </si>
  <si>
    <t>Very unclear.</t>
  </si>
  <si>
    <t>Hard to parse, disorganized, or confusing wording.</t>
  </si>
  <si>
    <t>Hard to understand.</t>
  </si>
  <si>
    <t>Meaning present but heavy or awkward phrasing.</t>
  </si>
  <si>
    <t>Understandable with effort.</t>
  </si>
  <si>
    <t>Mostly understandable, but avoidable ambiguity exists.</t>
  </si>
  <si>
    <t>Clear.</t>
  </si>
  <si>
    <t>Easy to follow, suitable student-level language.</t>
  </si>
  <si>
    <t>Very clear and concise.</t>
  </si>
  <si>
    <t>Immediately understandable and well scoped.</t>
  </si>
  <si>
    <t>Annotation Rules</t>
  </si>
  <si>
    <t>1) Score each dimension independently.</t>
  </si>
  <si>
    <t>2) Do not reward tone if mathematics is wrong.</t>
  </si>
  <si>
    <t>3) For non-hint modes, set Hint Usefulness to N/A.</t>
  </si>
  <si>
    <t>4) If between two scores, choose lower unless strong evidence supports higher.</t>
  </si>
  <si>
    <t>5) Keep a 1-line rationale per case for auditability.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</si>
</sst>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2" fontId="2" numFmtId="0" xfId="0" applyAlignment="1" applyBorder="1" applyFill="1" applyFont="1">
      <alignment readingOrder="0"/>
    </xf>
    <xf borderId="4" fillId="2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3" numFmtId="0" xfId="0" applyFont="1"/>
    <xf borderId="8" fillId="3" fontId="4" numFmtId="0" xfId="0" applyAlignment="1" applyBorder="1" applyFill="1" applyFont="1">
      <alignment horizontal="center" shrinkToFit="0" vertical="center" wrapText="1"/>
    </xf>
    <xf borderId="8" fillId="4" fontId="1" numFmtId="0" xfId="0" applyAlignment="1" applyBorder="1" applyFill="1" applyFont="1">
      <alignment shrinkToFit="0" vertical="top" wrapText="1"/>
    </xf>
    <xf borderId="8" fillId="0" fontId="5" numFmtId="0" xfId="0" applyAlignment="1" applyBorder="1" applyFont="1">
      <alignment shrinkToFit="0" vertical="top" wrapText="1"/>
    </xf>
    <xf borderId="0" fillId="0" fontId="1" numFmtId="0" xfId="0" applyFont="1"/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45.5"/>
    <col customWidth="1" min="5" max="5" width="17.88"/>
    <col customWidth="1" min="6" max="6" width="30.5"/>
    <col customWidth="1" min="7" max="7" width="38.13"/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3" t="str">
        <f t="shared" ref="C2:C51" si="1">A2 &amp; ".png"</f>
        <v>1.png</v>
      </c>
      <c r="D2" s="2" t="s">
        <v>10</v>
      </c>
      <c r="E2" s="2" t="s">
        <v>11</v>
      </c>
      <c r="F2" s="2" t="s">
        <v>12</v>
      </c>
      <c r="H2" s="2" t="s">
        <v>13</v>
      </c>
      <c r="I2" s="2" t="s">
        <v>14</v>
      </c>
    </row>
    <row r="3">
      <c r="A3" s="2">
        <v>2.0</v>
      </c>
      <c r="B3" s="2" t="s">
        <v>9</v>
      </c>
      <c r="C3" s="3" t="str">
        <f t="shared" si="1"/>
        <v>2.png</v>
      </c>
      <c r="D3" s="2" t="s">
        <v>10</v>
      </c>
      <c r="E3" s="2" t="s">
        <v>11</v>
      </c>
      <c r="F3" s="2" t="s">
        <v>12</v>
      </c>
      <c r="H3" s="2" t="s">
        <v>13</v>
      </c>
      <c r="I3" s="2" t="s">
        <v>14</v>
      </c>
    </row>
    <row r="4">
      <c r="A4" s="2">
        <v>3.0</v>
      </c>
      <c r="B4" s="2" t="s">
        <v>9</v>
      </c>
      <c r="C4" s="3" t="str">
        <f t="shared" si="1"/>
        <v>3.png</v>
      </c>
      <c r="D4" s="2" t="s">
        <v>10</v>
      </c>
      <c r="E4" s="2" t="s">
        <v>11</v>
      </c>
      <c r="F4" s="2" t="s">
        <v>12</v>
      </c>
      <c r="H4" s="2" t="s">
        <v>13</v>
      </c>
      <c r="I4" s="2" t="s">
        <v>14</v>
      </c>
    </row>
    <row r="5">
      <c r="A5" s="2">
        <v>4.0</v>
      </c>
      <c r="B5" s="2" t="s">
        <v>9</v>
      </c>
      <c r="C5" s="3" t="str">
        <f t="shared" si="1"/>
        <v>4.png</v>
      </c>
      <c r="D5" s="2" t="s">
        <v>10</v>
      </c>
      <c r="E5" s="2" t="s">
        <v>11</v>
      </c>
      <c r="F5" s="2" t="s">
        <v>12</v>
      </c>
      <c r="H5" s="2" t="s">
        <v>13</v>
      </c>
      <c r="I5" s="2" t="s">
        <v>14</v>
      </c>
    </row>
    <row r="6">
      <c r="A6" s="2">
        <v>5.0</v>
      </c>
      <c r="B6" s="2" t="s">
        <v>9</v>
      </c>
      <c r="C6" s="3" t="str">
        <f t="shared" si="1"/>
        <v>5.png</v>
      </c>
      <c r="D6" s="2" t="s">
        <v>10</v>
      </c>
      <c r="E6" s="2" t="s">
        <v>11</v>
      </c>
      <c r="F6" s="2" t="s">
        <v>12</v>
      </c>
      <c r="H6" s="2" t="s">
        <v>13</v>
      </c>
      <c r="I6" s="2" t="s">
        <v>14</v>
      </c>
    </row>
    <row r="7">
      <c r="A7" s="2">
        <v>6.0</v>
      </c>
      <c r="B7" s="2" t="s">
        <v>9</v>
      </c>
      <c r="C7" s="3" t="str">
        <f t="shared" si="1"/>
        <v>6.png</v>
      </c>
      <c r="D7" s="2" t="s">
        <v>10</v>
      </c>
      <c r="E7" s="2" t="s">
        <v>11</v>
      </c>
      <c r="F7" s="2" t="s">
        <v>12</v>
      </c>
      <c r="H7" s="2" t="s">
        <v>13</v>
      </c>
      <c r="I7" s="2" t="s">
        <v>14</v>
      </c>
    </row>
    <row r="8">
      <c r="A8" s="2">
        <v>7.0</v>
      </c>
      <c r="B8" s="2" t="s">
        <v>9</v>
      </c>
      <c r="C8" s="3" t="str">
        <f t="shared" si="1"/>
        <v>7.png</v>
      </c>
      <c r="D8" s="2" t="s">
        <v>10</v>
      </c>
      <c r="E8" s="2" t="s">
        <v>11</v>
      </c>
      <c r="F8" s="2" t="s">
        <v>12</v>
      </c>
      <c r="H8" s="2" t="s">
        <v>13</v>
      </c>
      <c r="I8" s="2" t="s">
        <v>14</v>
      </c>
    </row>
    <row r="9">
      <c r="A9" s="2">
        <v>8.0</v>
      </c>
      <c r="B9" s="2" t="s">
        <v>15</v>
      </c>
      <c r="C9" s="3" t="str">
        <f t="shared" si="1"/>
        <v>8.png</v>
      </c>
      <c r="D9" s="2" t="s">
        <v>16</v>
      </c>
      <c r="E9" s="2" t="s">
        <v>11</v>
      </c>
      <c r="F9" s="2" t="s">
        <v>17</v>
      </c>
      <c r="H9" s="2" t="s">
        <v>18</v>
      </c>
      <c r="I9" s="2" t="s">
        <v>14</v>
      </c>
    </row>
    <row r="10">
      <c r="A10" s="2">
        <v>9.0</v>
      </c>
      <c r="B10" s="2" t="s">
        <v>15</v>
      </c>
      <c r="C10" s="3" t="str">
        <f t="shared" si="1"/>
        <v>9.png</v>
      </c>
      <c r="D10" s="2" t="s">
        <v>16</v>
      </c>
      <c r="E10" s="2" t="s">
        <v>11</v>
      </c>
      <c r="F10" s="2" t="s">
        <v>17</v>
      </c>
      <c r="H10" s="2" t="s">
        <v>18</v>
      </c>
      <c r="I10" s="2" t="s">
        <v>14</v>
      </c>
    </row>
    <row r="11">
      <c r="A11" s="2">
        <v>10.0</v>
      </c>
      <c r="B11" s="2" t="s">
        <v>15</v>
      </c>
      <c r="C11" s="3" t="str">
        <f t="shared" si="1"/>
        <v>10.png</v>
      </c>
      <c r="D11" s="2" t="s">
        <v>16</v>
      </c>
      <c r="E11" s="2" t="s">
        <v>11</v>
      </c>
      <c r="F11" s="2" t="s">
        <v>17</v>
      </c>
      <c r="H11" s="2" t="s">
        <v>18</v>
      </c>
      <c r="I11" s="2" t="s">
        <v>14</v>
      </c>
    </row>
    <row r="12">
      <c r="A12" s="2">
        <v>11.0</v>
      </c>
      <c r="B12" s="2" t="s">
        <v>15</v>
      </c>
      <c r="C12" s="3" t="str">
        <f t="shared" si="1"/>
        <v>11.png</v>
      </c>
      <c r="D12" s="2" t="s">
        <v>16</v>
      </c>
      <c r="E12" s="2" t="s">
        <v>11</v>
      </c>
      <c r="F12" s="2" t="s">
        <v>17</v>
      </c>
      <c r="H12" s="2" t="s">
        <v>18</v>
      </c>
      <c r="I12" s="2" t="s">
        <v>14</v>
      </c>
    </row>
    <row r="13">
      <c r="A13" s="2">
        <v>12.0</v>
      </c>
      <c r="B13" s="2" t="s">
        <v>15</v>
      </c>
      <c r="C13" s="3" t="str">
        <f t="shared" si="1"/>
        <v>12.png</v>
      </c>
      <c r="D13" s="2" t="s">
        <v>16</v>
      </c>
      <c r="E13" s="2" t="s">
        <v>11</v>
      </c>
      <c r="F13" s="2" t="s">
        <v>17</v>
      </c>
      <c r="H13" s="2" t="s">
        <v>18</v>
      </c>
      <c r="I13" s="2" t="s">
        <v>14</v>
      </c>
    </row>
    <row r="14">
      <c r="A14" s="2">
        <v>13.0</v>
      </c>
      <c r="B14" s="2" t="s">
        <v>15</v>
      </c>
      <c r="C14" s="3" t="str">
        <f t="shared" si="1"/>
        <v>13.png</v>
      </c>
      <c r="D14" s="2" t="s">
        <v>16</v>
      </c>
      <c r="E14" s="2" t="s">
        <v>11</v>
      </c>
      <c r="F14" s="2" t="s">
        <v>17</v>
      </c>
      <c r="H14" s="2" t="s">
        <v>18</v>
      </c>
      <c r="I14" s="2" t="s">
        <v>14</v>
      </c>
    </row>
    <row r="15">
      <c r="A15" s="2">
        <v>14.0</v>
      </c>
      <c r="B15" s="2" t="s">
        <v>15</v>
      </c>
      <c r="C15" s="3" t="str">
        <f t="shared" si="1"/>
        <v>14.png</v>
      </c>
      <c r="D15" s="2" t="s">
        <v>16</v>
      </c>
      <c r="E15" s="2" t="s">
        <v>11</v>
      </c>
      <c r="F15" s="2" t="s">
        <v>17</v>
      </c>
      <c r="H15" s="2" t="s">
        <v>18</v>
      </c>
      <c r="I15" s="2" t="s">
        <v>14</v>
      </c>
    </row>
    <row r="16">
      <c r="A16" s="2">
        <v>15.0</v>
      </c>
      <c r="B16" s="2" t="s">
        <v>15</v>
      </c>
      <c r="C16" s="3" t="str">
        <f t="shared" si="1"/>
        <v>15.png</v>
      </c>
      <c r="D16" s="2" t="s">
        <v>16</v>
      </c>
      <c r="E16" s="2" t="s">
        <v>11</v>
      </c>
      <c r="F16" s="2" t="s">
        <v>17</v>
      </c>
      <c r="H16" s="2" t="s">
        <v>18</v>
      </c>
      <c r="I16" s="2" t="s">
        <v>14</v>
      </c>
    </row>
    <row r="17">
      <c r="A17" s="2">
        <v>16.0</v>
      </c>
      <c r="B17" s="2" t="s">
        <v>15</v>
      </c>
      <c r="C17" s="3" t="str">
        <f t="shared" si="1"/>
        <v>16.png</v>
      </c>
      <c r="D17" s="2" t="s">
        <v>16</v>
      </c>
      <c r="E17" s="2" t="s">
        <v>11</v>
      </c>
      <c r="F17" s="2" t="s">
        <v>17</v>
      </c>
      <c r="H17" s="2" t="s">
        <v>18</v>
      </c>
      <c r="I17" s="2" t="s">
        <v>14</v>
      </c>
    </row>
    <row r="18">
      <c r="A18" s="2">
        <v>17.0</v>
      </c>
      <c r="B18" s="2" t="s">
        <v>15</v>
      </c>
      <c r="C18" s="3" t="str">
        <f t="shared" si="1"/>
        <v>17.png</v>
      </c>
      <c r="D18" s="2" t="s">
        <v>19</v>
      </c>
      <c r="E18" s="2" t="s">
        <v>20</v>
      </c>
      <c r="F18" s="2" t="s">
        <v>21</v>
      </c>
      <c r="H18" s="2" t="s">
        <v>22</v>
      </c>
      <c r="I18" s="2" t="s">
        <v>14</v>
      </c>
    </row>
    <row r="19">
      <c r="A19" s="2">
        <v>18.0</v>
      </c>
      <c r="B19" s="2" t="s">
        <v>15</v>
      </c>
      <c r="C19" s="3" t="str">
        <f t="shared" si="1"/>
        <v>18.png</v>
      </c>
      <c r="D19" s="2" t="s">
        <v>16</v>
      </c>
      <c r="E19" s="2" t="s">
        <v>11</v>
      </c>
      <c r="F19" s="2" t="s">
        <v>17</v>
      </c>
      <c r="H19" s="2" t="s">
        <v>18</v>
      </c>
      <c r="I19" s="2" t="s">
        <v>14</v>
      </c>
    </row>
    <row r="20">
      <c r="A20" s="2">
        <v>19.0</v>
      </c>
      <c r="B20" s="2" t="s">
        <v>15</v>
      </c>
      <c r="C20" s="3" t="str">
        <f t="shared" si="1"/>
        <v>19.png</v>
      </c>
      <c r="D20" s="2" t="s">
        <v>16</v>
      </c>
      <c r="E20" s="2" t="s">
        <v>11</v>
      </c>
      <c r="F20" s="2" t="s">
        <v>17</v>
      </c>
      <c r="H20" s="2" t="s">
        <v>18</v>
      </c>
      <c r="I20" s="2" t="s">
        <v>14</v>
      </c>
    </row>
    <row r="21">
      <c r="A21" s="2">
        <v>20.0</v>
      </c>
      <c r="B21" s="2" t="s">
        <v>15</v>
      </c>
      <c r="C21" s="3" t="str">
        <f t="shared" si="1"/>
        <v>20.png</v>
      </c>
      <c r="D21" s="2" t="s">
        <v>16</v>
      </c>
      <c r="E21" s="2" t="s">
        <v>11</v>
      </c>
      <c r="F21" s="2" t="s">
        <v>17</v>
      </c>
      <c r="H21" s="2" t="s">
        <v>18</v>
      </c>
      <c r="I21" s="2" t="s">
        <v>14</v>
      </c>
    </row>
    <row r="22">
      <c r="A22" s="2">
        <v>21.0</v>
      </c>
      <c r="B22" s="2" t="s">
        <v>15</v>
      </c>
      <c r="C22" s="3" t="str">
        <f t="shared" si="1"/>
        <v>21.png</v>
      </c>
      <c r="D22" s="2" t="s">
        <v>16</v>
      </c>
      <c r="E22" s="2" t="s">
        <v>11</v>
      </c>
      <c r="F22" s="2" t="s">
        <v>17</v>
      </c>
      <c r="H22" s="2" t="s">
        <v>18</v>
      </c>
      <c r="I22" s="2" t="s">
        <v>14</v>
      </c>
    </row>
    <row r="23">
      <c r="A23" s="2">
        <v>22.0</v>
      </c>
      <c r="B23" s="2" t="s">
        <v>9</v>
      </c>
      <c r="C23" s="3" t="str">
        <f t="shared" si="1"/>
        <v>22.png</v>
      </c>
      <c r="D23" s="2" t="s">
        <v>23</v>
      </c>
      <c r="E23" s="2" t="s">
        <v>24</v>
      </c>
      <c r="F23" s="2" t="s">
        <v>25</v>
      </c>
      <c r="H23" s="2" t="s">
        <v>22</v>
      </c>
      <c r="I23" s="2" t="s">
        <v>14</v>
      </c>
    </row>
    <row r="24">
      <c r="A24" s="2">
        <v>23.0</v>
      </c>
      <c r="B24" s="2" t="s">
        <v>9</v>
      </c>
      <c r="C24" s="3" t="str">
        <f t="shared" si="1"/>
        <v>23.png</v>
      </c>
      <c r="D24" s="2" t="s">
        <v>23</v>
      </c>
      <c r="E24" s="2" t="s">
        <v>26</v>
      </c>
      <c r="F24" s="2" t="s">
        <v>25</v>
      </c>
      <c r="H24" s="2" t="s">
        <v>22</v>
      </c>
      <c r="I24" s="2" t="s">
        <v>14</v>
      </c>
    </row>
    <row r="25">
      <c r="A25" s="2">
        <v>24.0</v>
      </c>
      <c r="B25" s="2" t="s">
        <v>9</v>
      </c>
      <c r="C25" s="3" t="str">
        <f t="shared" si="1"/>
        <v>24.png</v>
      </c>
      <c r="D25" s="2" t="s">
        <v>23</v>
      </c>
      <c r="E25" s="2" t="s">
        <v>27</v>
      </c>
      <c r="F25" s="2" t="s">
        <v>25</v>
      </c>
      <c r="H25" s="2" t="s">
        <v>22</v>
      </c>
      <c r="I25" s="2" t="s">
        <v>14</v>
      </c>
    </row>
    <row r="26">
      <c r="A26" s="2">
        <v>25.0</v>
      </c>
      <c r="B26" s="2" t="s">
        <v>9</v>
      </c>
      <c r="C26" s="3" t="str">
        <f t="shared" si="1"/>
        <v>25.png</v>
      </c>
      <c r="D26" s="2" t="s">
        <v>23</v>
      </c>
      <c r="E26" s="2" t="s">
        <v>28</v>
      </c>
      <c r="F26" s="2" t="s">
        <v>25</v>
      </c>
      <c r="H26" s="2" t="s">
        <v>22</v>
      </c>
      <c r="I26" s="2" t="s">
        <v>14</v>
      </c>
    </row>
    <row r="27">
      <c r="A27" s="2">
        <v>26.0</v>
      </c>
      <c r="B27" s="2" t="s">
        <v>9</v>
      </c>
      <c r="C27" s="3" t="str">
        <f t="shared" si="1"/>
        <v>26.png</v>
      </c>
      <c r="D27" s="2" t="s">
        <v>23</v>
      </c>
      <c r="E27" s="2" t="s">
        <v>29</v>
      </c>
      <c r="F27" s="2" t="s">
        <v>25</v>
      </c>
      <c r="H27" s="2" t="s">
        <v>22</v>
      </c>
      <c r="I27" s="2" t="s">
        <v>14</v>
      </c>
    </row>
    <row r="28">
      <c r="A28" s="2">
        <v>27.0</v>
      </c>
      <c r="B28" s="2" t="s">
        <v>9</v>
      </c>
      <c r="C28" s="3" t="str">
        <f t="shared" si="1"/>
        <v>27.png</v>
      </c>
      <c r="D28" s="2" t="s">
        <v>23</v>
      </c>
      <c r="E28" s="2" t="s">
        <v>30</v>
      </c>
      <c r="F28" s="2" t="s">
        <v>25</v>
      </c>
      <c r="H28" s="2" t="s">
        <v>22</v>
      </c>
      <c r="I28" s="2" t="s">
        <v>14</v>
      </c>
    </row>
    <row r="29">
      <c r="A29" s="2">
        <v>28.0</v>
      </c>
      <c r="B29" s="2" t="s">
        <v>9</v>
      </c>
      <c r="C29" s="3" t="str">
        <f t="shared" si="1"/>
        <v>28.png</v>
      </c>
      <c r="D29" s="2" t="s">
        <v>23</v>
      </c>
      <c r="E29" s="2" t="s">
        <v>31</v>
      </c>
      <c r="F29" s="2" t="s">
        <v>25</v>
      </c>
      <c r="H29" s="2" t="s">
        <v>22</v>
      </c>
      <c r="I29" s="2" t="s">
        <v>14</v>
      </c>
    </row>
    <row r="30">
      <c r="A30" s="2">
        <v>29.0</v>
      </c>
      <c r="B30" s="2" t="s">
        <v>9</v>
      </c>
      <c r="C30" s="3" t="str">
        <f t="shared" si="1"/>
        <v>29.png</v>
      </c>
      <c r="D30" s="2" t="s">
        <v>23</v>
      </c>
      <c r="E30" s="2" t="s">
        <v>32</v>
      </c>
      <c r="F30" s="2" t="s">
        <v>25</v>
      </c>
      <c r="H30" s="2" t="s">
        <v>22</v>
      </c>
      <c r="I30" s="2" t="s">
        <v>14</v>
      </c>
    </row>
    <row r="31">
      <c r="A31" s="2">
        <v>30.0</v>
      </c>
      <c r="B31" s="2" t="s">
        <v>9</v>
      </c>
      <c r="C31" s="3" t="str">
        <f t="shared" si="1"/>
        <v>30.png</v>
      </c>
      <c r="D31" s="2" t="s">
        <v>23</v>
      </c>
      <c r="E31" s="2" t="s">
        <v>33</v>
      </c>
      <c r="F31" s="2" t="s">
        <v>25</v>
      </c>
      <c r="H31" s="2" t="s">
        <v>22</v>
      </c>
      <c r="I31" s="2" t="s">
        <v>14</v>
      </c>
    </row>
    <row r="32">
      <c r="A32" s="2">
        <v>31.0</v>
      </c>
      <c r="B32" s="2" t="s">
        <v>9</v>
      </c>
      <c r="C32" s="3" t="str">
        <f t="shared" si="1"/>
        <v>31.png</v>
      </c>
      <c r="D32" s="2" t="s">
        <v>23</v>
      </c>
      <c r="E32" s="2" t="s">
        <v>20</v>
      </c>
      <c r="F32" s="2" t="s">
        <v>25</v>
      </c>
      <c r="H32" s="2" t="s">
        <v>22</v>
      </c>
      <c r="I32" s="2" t="s">
        <v>14</v>
      </c>
    </row>
    <row r="33">
      <c r="A33" s="2">
        <v>32.0</v>
      </c>
      <c r="B33" s="2" t="s">
        <v>15</v>
      </c>
      <c r="C33" s="3" t="str">
        <f t="shared" si="1"/>
        <v>32.png</v>
      </c>
      <c r="D33" s="2" t="s">
        <v>19</v>
      </c>
      <c r="E33" s="2" t="s">
        <v>34</v>
      </c>
      <c r="F33" s="2" t="s">
        <v>21</v>
      </c>
      <c r="H33" s="2" t="s">
        <v>22</v>
      </c>
      <c r="I33" s="2" t="s">
        <v>14</v>
      </c>
    </row>
    <row r="34">
      <c r="A34" s="2">
        <v>33.0</v>
      </c>
      <c r="B34" s="2" t="s">
        <v>15</v>
      </c>
      <c r="C34" s="3" t="str">
        <f t="shared" si="1"/>
        <v>33.png</v>
      </c>
      <c r="D34" s="2" t="s">
        <v>19</v>
      </c>
      <c r="E34" s="2" t="s">
        <v>35</v>
      </c>
      <c r="F34" s="2" t="s">
        <v>21</v>
      </c>
      <c r="H34" s="2" t="s">
        <v>22</v>
      </c>
      <c r="I34" s="2" t="s">
        <v>14</v>
      </c>
    </row>
    <row r="35">
      <c r="A35" s="2">
        <v>34.0</v>
      </c>
      <c r="B35" s="2" t="s">
        <v>15</v>
      </c>
      <c r="C35" s="3" t="str">
        <f t="shared" si="1"/>
        <v>34.png</v>
      </c>
      <c r="D35" s="2" t="s">
        <v>19</v>
      </c>
      <c r="E35" s="2" t="s">
        <v>36</v>
      </c>
      <c r="F35" s="2" t="s">
        <v>21</v>
      </c>
      <c r="H35" s="2" t="s">
        <v>22</v>
      </c>
      <c r="I35" s="2" t="s">
        <v>37</v>
      </c>
    </row>
    <row r="36">
      <c r="A36" s="2">
        <v>35.0</v>
      </c>
      <c r="B36" s="2" t="s">
        <v>15</v>
      </c>
      <c r="C36" s="3" t="str">
        <f t="shared" si="1"/>
        <v>35.png</v>
      </c>
      <c r="D36" s="2" t="s">
        <v>19</v>
      </c>
      <c r="E36" s="2" t="s">
        <v>30</v>
      </c>
      <c r="F36" s="2" t="s">
        <v>21</v>
      </c>
      <c r="H36" s="2" t="s">
        <v>22</v>
      </c>
      <c r="I36" s="2" t="s">
        <v>37</v>
      </c>
    </row>
    <row r="37">
      <c r="A37" s="2">
        <v>36.0</v>
      </c>
      <c r="B37" s="2" t="s">
        <v>15</v>
      </c>
      <c r="C37" s="3" t="str">
        <f t="shared" si="1"/>
        <v>36.png</v>
      </c>
      <c r="D37" s="2" t="s">
        <v>19</v>
      </c>
      <c r="E37" s="2" t="s">
        <v>38</v>
      </c>
      <c r="F37" s="2" t="s">
        <v>21</v>
      </c>
      <c r="H37" s="2" t="s">
        <v>22</v>
      </c>
      <c r="I37" s="2" t="s">
        <v>37</v>
      </c>
    </row>
    <row r="38">
      <c r="A38" s="2">
        <v>37.0</v>
      </c>
      <c r="B38" s="2" t="s">
        <v>39</v>
      </c>
      <c r="C38" s="3" t="str">
        <f t="shared" si="1"/>
        <v>37.png</v>
      </c>
      <c r="D38" s="2" t="s">
        <v>40</v>
      </c>
      <c r="E38" s="2" t="s">
        <v>11</v>
      </c>
      <c r="F38" s="2" t="s">
        <v>41</v>
      </c>
      <c r="H38" s="2" t="s">
        <v>13</v>
      </c>
      <c r="I38" s="2" t="s">
        <v>37</v>
      </c>
    </row>
    <row r="39">
      <c r="A39" s="2">
        <v>38.0</v>
      </c>
      <c r="B39" s="2" t="s">
        <v>39</v>
      </c>
      <c r="C39" s="3" t="str">
        <f t="shared" si="1"/>
        <v>38.png</v>
      </c>
      <c r="D39" s="2" t="s">
        <v>40</v>
      </c>
      <c r="E39" s="2" t="s">
        <v>11</v>
      </c>
      <c r="F39" s="2" t="s">
        <v>41</v>
      </c>
      <c r="H39" s="2" t="s">
        <v>13</v>
      </c>
      <c r="I39" s="2" t="s">
        <v>37</v>
      </c>
    </row>
    <row r="40">
      <c r="A40" s="2">
        <v>39.0</v>
      </c>
      <c r="B40" s="2" t="s">
        <v>39</v>
      </c>
      <c r="C40" s="3" t="str">
        <f t="shared" si="1"/>
        <v>39.png</v>
      </c>
      <c r="D40" s="2" t="s">
        <v>40</v>
      </c>
      <c r="E40" s="2" t="s">
        <v>11</v>
      </c>
      <c r="F40" s="2" t="s">
        <v>41</v>
      </c>
      <c r="H40" s="2" t="s">
        <v>13</v>
      </c>
      <c r="I40" s="2" t="s">
        <v>37</v>
      </c>
    </row>
    <row r="41">
      <c r="A41" s="2">
        <v>40.0</v>
      </c>
      <c r="B41" s="2" t="s">
        <v>39</v>
      </c>
      <c r="C41" s="3" t="str">
        <f t="shared" si="1"/>
        <v>40.png</v>
      </c>
      <c r="D41" s="2" t="s">
        <v>40</v>
      </c>
      <c r="E41" s="2" t="s">
        <v>11</v>
      </c>
      <c r="F41" s="2" t="s">
        <v>41</v>
      </c>
      <c r="H41" s="2" t="s">
        <v>13</v>
      </c>
      <c r="I41" s="2" t="s">
        <v>37</v>
      </c>
    </row>
    <row r="42">
      <c r="A42" s="2">
        <v>41.0</v>
      </c>
      <c r="B42" s="2" t="s">
        <v>39</v>
      </c>
      <c r="C42" s="3" t="str">
        <f t="shared" si="1"/>
        <v>41.png</v>
      </c>
      <c r="D42" s="2" t="s">
        <v>40</v>
      </c>
      <c r="E42" s="2" t="s">
        <v>11</v>
      </c>
      <c r="F42" s="2" t="s">
        <v>41</v>
      </c>
      <c r="H42" s="2" t="s">
        <v>13</v>
      </c>
      <c r="I42" s="2" t="s">
        <v>37</v>
      </c>
    </row>
    <row r="43">
      <c r="A43" s="2">
        <v>42.0</v>
      </c>
      <c r="B43" s="2" t="s">
        <v>9</v>
      </c>
      <c r="C43" s="3" t="str">
        <f t="shared" si="1"/>
        <v>42.png</v>
      </c>
      <c r="E43" s="2" t="s">
        <v>11</v>
      </c>
      <c r="F43" s="2" t="s">
        <v>42</v>
      </c>
      <c r="G43" s="2" t="s">
        <v>43</v>
      </c>
      <c r="H43" s="2" t="s">
        <v>13</v>
      </c>
      <c r="I43" s="2" t="s">
        <v>37</v>
      </c>
    </row>
    <row r="44">
      <c r="A44" s="2">
        <v>43.0</v>
      </c>
      <c r="B44" s="2" t="s">
        <v>9</v>
      </c>
      <c r="C44" s="3" t="str">
        <f t="shared" si="1"/>
        <v>43.png</v>
      </c>
      <c r="E44" s="2" t="s">
        <v>11</v>
      </c>
      <c r="F44" s="2" t="s">
        <v>42</v>
      </c>
      <c r="G44" s="2" t="s">
        <v>44</v>
      </c>
      <c r="H44" s="2" t="s">
        <v>13</v>
      </c>
      <c r="I44" s="2" t="s">
        <v>37</v>
      </c>
    </row>
    <row r="45">
      <c r="A45" s="2">
        <v>44.0</v>
      </c>
      <c r="B45" s="2" t="s">
        <v>9</v>
      </c>
      <c r="C45" s="3" t="str">
        <f t="shared" si="1"/>
        <v>44.png</v>
      </c>
      <c r="E45" s="2" t="s">
        <v>11</v>
      </c>
      <c r="F45" s="2" t="s">
        <v>42</v>
      </c>
      <c r="G45" s="2" t="s">
        <v>45</v>
      </c>
      <c r="H45" s="2" t="s">
        <v>13</v>
      </c>
      <c r="I45" s="2" t="s">
        <v>37</v>
      </c>
    </row>
    <row r="46">
      <c r="A46" s="2">
        <v>45.0</v>
      </c>
      <c r="B46" s="2" t="s">
        <v>15</v>
      </c>
      <c r="C46" s="3" t="str">
        <f t="shared" si="1"/>
        <v>45.png</v>
      </c>
      <c r="E46" s="2" t="s">
        <v>11</v>
      </c>
      <c r="F46" s="2" t="s">
        <v>42</v>
      </c>
      <c r="G46" s="2" t="s">
        <v>46</v>
      </c>
      <c r="H46" s="2" t="s">
        <v>13</v>
      </c>
      <c r="I46" s="2" t="s">
        <v>37</v>
      </c>
    </row>
    <row r="47">
      <c r="A47" s="2">
        <v>46.0</v>
      </c>
      <c r="B47" s="2" t="s">
        <v>9</v>
      </c>
      <c r="C47" s="3" t="str">
        <f t="shared" si="1"/>
        <v>46.png</v>
      </c>
      <c r="E47" s="2" t="s">
        <v>11</v>
      </c>
      <c r="F47" s="2" t="s">
        <v>42</v>
      </c>
      <c r="G47" s="2" t="s">
        <v>47</v>
      </c>
      <c r="H47" s="2" t="s">
        <v>13</v>
      </c>
      <c r="I47" s="2" t="s">
        <v>37</v>
      </c>
    </row>
    <row r="48">
      <c r="A48" s="2">
        <v>47.0</v>
      </c>
      <c r="B48" s="2" t="s">
        <v>15</v>
      </c>
      <c r="C48" s="3" t="str">
        <f t="shared" si="1"/>
        <v>47.png</v>
      </c>
      <c r="E48" s="2" t="s">
        <v>11</v>
      </c>
      <c r="F48" s="2" t="s">
        <v>48</v>
      </c>
      <c r="G48" s="2" t="s">
        <v>49</v>
      </c>
      <c r="H48" s="2" t="s">
        <v>22</v>
      </c>
      <c r="I48" s="2" t="s">
        <v>37</v>
      </c>
    </row>
    <row r="49">
      <c r="A49" s="2">
        <v>48.0</v>
      </c>
      <c r="B49" s="2" t="s">
        <v>9</v>
      </c>
      <c r="C49" s="3" t="str">
        <f t="shared" si="1"/>
        <v>48.png</v>
      </c>
      <c r="E49" s="2" t="s">
        <v>11</v>
      </c>
      <c r="F49" s="2" t="s">
        <v>48</v>
      </c>
      <c r="G49" s="2" t="s">
        <v>50</v>
      </c>
      <c r="H49" s="2" t="s">
        <v>51</v>
      </c>
      <c r="I49" s="2" t="s">
        <v>37</v>
      </c>
    </row>
    <row r="50">
      <c r="A50" s="2">
        <v>49.0</v>
      </c>
      <c r="B50" s="2" t="s">
        <v>15</v>
      </c>
      <c r="C50" s="3" t="str">
        <f t="shared" si="1"/>
        <v>49.png</v>
      </c>
      <c r="E50" s="2" t="s">
        <v>11</v>
      </c>
      <c r="F50" s="2" t="s">
        <v>52</v>
      </c>
      <c r="G50" s="2" t="s">
        <v>53</v>
      </c>
      <c r="H50" s="2" t="s">
        <v>18</v>
      </c>
      <c r="I50" s="2" t="s">
        <v>37</v>
      </c>
    </row>
    <row r="51">
      <c r="A51" s="2">
        <v>50.0</v>
      </c>
      <c r="B51" s="2" t="s">
        <v>15</v>
      </c>
      <c r="C51" s="3" t="str">
        <f t="shared" si="1"/>
        <v>50.png</v>
      </c>
      <c r="E51" s="2" t="s">
        <v>11</v>
      </c>
      <c r="F51" s="2" t="s">
        <v>52</v>
      </c>
      <c r="G51" s="2" t="s">
        <v>54</v>
      </c>
      <c r="H51" s="2" t="s">
        <v>18</v>
      </c>
      <c r="I51" s="2" t="s">
        <v>37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13.5"/>
  </cols>
  <sheetData>
    <row r="1">
      <c r="A1" s="4" t="s">
        <v>55</v>
      </c>
      <c r="B1" s="5" t="s">
        <v>56</v>
      </c>
    </row>
    <row r="2">
      <c r="A2" s="6" t="s">
        <v>12</v>
      </c>
      <c r="B2" s="7" t="s">
        <v>57</v>
      </c>
    </row>
    <row r="3">
      <c r="A3" s="8" t="s">
        <v>17</v>
      </c>
      <c r="B3" s="9" t="s">
        <v>58</v>
      </c>
    </row>
    <row r="4">
      <c r="A4" s="6" t="s">
        <v>25</v>
      </c>
      <c r="B4" s="10" t="s">
        <v>59</v>
      </c>
    </row>
    <row r="5">
      <c r="A5" s="8" t="s">
        <v>21</v>
      </c>
      <c r="B5" s="9" t="s">
        <v>60</v>
      </c>
    </row>
    <row r="6">
      <c r="A6" s="6" t="s">
        <v>41</v>
      </c>
      <c r="B6" s="10" t="s">
        <v>61</v>
      </c>
    </row>
    <row r="7">
      <c r="A7" s="8" t="s">
        <v>42</v>
      </c>
      <c r="B7" s="9" t="s">
        <v>62</v>
      </c>
    </row>
    <row r="8">
      <c r="A8" s="6" t="s">
        <v>48</v>
      </c>
      <c r="B8" s="10" t="s">
        <v>63</v>
      </c>
    </row>
    <row r="9">
      <c r="A9" s="11" t="s">
        <v>52</v>
      </c>
      <c r="B9" s="12" t="s">
        <v>64</v>
      </c>
    </row>
    <row r="10">
      <c r="A10" s="13" t="s">
        <v>65</v>
      </c>
    </row>
  </sheetData>
  <mergeCells count="1">
    <mergeCell ref="A10:B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89.5"/>
    <col customWidth="1" min="3" max="3" width="53.13"/>
  </cols>
  <sheetData>
    <row r="1">
      <c r="A1" s="1" t="s">
        <v>66</v>
      </c>
      <c r="B1" s="1" t="s">
        <v>67</v>
      </c>
      <c r="C1" s="1" t="s">
        <v>68</v>
      </c>
    </row>
    <row r="3">
      <c r="A3" s="1" t="s">
        <v>69</v>
      </c>
      <c r="B3" s="2" t="s">
        <v>70</v>
      </c>
      <c r="C3" s="2" t="s">
        <v>71</v>
      </c>
    </row>
    <row r="4">
      <c r="C4" s="2" t="s">
        <v>72</v>
      </c>
    </row>
    <row r="5">
      <c r="C5" s="2" t="s">
        <v>73</v>
      </c>
    </row>
    <row r="7">
      <c r="A7" s="1" t="s">
        <v>74</v>
      </c>
      <c r="B7" s="2" t="s">
        <v>75</v>
      </c>
      <c r="C7" s="2" t="s">
        <v>76</v>
      </c>
    </row>
    <row r="8">
      <c r="C8" s="2" t="s">
        <v>77</v>
      </c>
    </row>
    <row r="9">
      <c r="C9" s="2" t="s">
        <v>78</v>
      </c>
    </row>
    <row r="10">
      <c r="C10" s="2" t="s">
        <v>79</v>
      </c>
    </row>
    <row r="11">
      <c r="C11" s="2" t="s">
        <v>80</v>
      </c>
    </row>
    <row r="13">
      <c r="A13" s="1" t="s">
        <v>81</v>
      </c>
      <c r="B13" s="2" t="s">
        <v>82</v>
      </c>
      <c r="C13" s="2" t="s">
        <v>83</v>
      </c>
    </row>
    <row r="14">
      <c r="C14" s="2" t="s">
        <v>84</v>
      </c>
    </row>
    <row r="15">
      <c r="C15" s="2" t="s">
        <v>85</v>
      </c>
    </row>
    <row r="16">
      <c r="C16" s="2" t="s">
        <v>86</v>
      </c>
    </row>
    <row r="17">
      <c r="C17" s="2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9.25"/>
    <col customWidth="1" min="2" max="2" width="48.13"/>
    <col customWidth="1" min="3" max="3" width="12.25"/>
    <col customWidth="1" min="4" max="4" width="40.25"/>
    <col customWidth="1" min="5" max="5" width="45.5"/>
    <col customWidth="1" min="6" max="26" width="7.63"/>
  </cols>
  <sheetData>
    <row r="1">
      <c r="A1" s="14" t="s">
        <v>88</v>
      </c>
    </row>
    <row r="2">
      <c r="A2" s="3" t="s">
        <v>89</v>
      </c>
    </row>
    <row r="3">
      <c r="A3" s="3" t="s">
        <v>90</v>
      </c>
    </row>
    <row r="5">
      <c r="A5" s="15" t="s">
        <v>91</v>
      </c>
      <c r="B5" s="15" t="s">
        <v>67</v>
      </c>
      <c r="C5" s="15" t="s">
        <v>92</v>
      </c>
      <c r="D5" s="15" t="s">
        <v>93</v>
      </c>
      <c r="E5" s="15" t="s">
        <v>94</v>
      </c>
    </row>
    <row r="6">
      <c r="A6" s="16" t="s">
        <v>69</v>
      </c>
      <c r="B6" s="16" t="s">
        <v>95</v>
      </c>
      <c r="C6" s="16" t="s">
        <v>96</v>
      </c>
      <c r="D6" s="16" t="s">
        <v>97</v>
      </c>
      <c r="E6" s="16" t="s">
        <v>98</v>
      </c>
    </row>
    <row r="7">
      <c r="A7" s="17" t="s">
        <v>69</v>
      </c>
      <c r="B7" s="17" t="s">
        <v>95</v>
      </c>
      <c r="C7" s="17" t="s">
        <v>99</v>
      </c>
      <c r="D7" s="17" t="s">
        <v>100</v>
      </c>
      <c r="E7" s="17" t="s">
        <v>101</v>
      </c>
    </row>
    <row r="8">
      <c r="A8" s="17" t="s">
        <v>69</v>
      </c>
      <c r="B8" s="17" t="s">
        <v>95</v>
      </c>
      <c r="C8" s="17" t="s">
        <v>102</v>
      </c>
      <c r="D8" s="17" t="s">
        <v>103</v>
      </c>
      <c r="E8" s="17" t="s">
        <v>104</v>
      </c>
    </row>
    <row r="9">
      <c r="A9" s="16" t="s">
        <v>74</v>
      </c>
      <c r="B9" s="16" t="s">
        <v>75</v>
      </c>
      <c r="C9" s="16" t="s">
        <v>105</v>
      </c>
      <c r="D9" s="16" t="s">
        <v>106</v>
      </c>
      <c r="E9" s="16" t="s">
        <v>107</v>
      </c>
    </row>
    <row r="10">
      <c r="A10" s="17" t="s">
        <v>74</v>
      </c>
      <c r="B10" s="17" t="s">
        <v>75</v>
      </c>
      <c r="C10" s="17" t="s">
        <v>108</v>
      </c>
      <c r="D10" s="17" t="s">
        <v>109</v>
      </c>
      <c r="E10" s="17" t="s">
        <v>110</v>
      </c>
    </row>
    <row r="11">
      <c r="A11" s="17" t="s">
        <v>74</v>
      </c>
      <c r="B11" s="17" t="s">
        <v>75</v>
      </c>
      <c r="C11" s="17" t="s">
        <v>111</v>
      </c>
      <c r="D11" s="17" t="s">
        <v>112</v>
      </c>
      <c r="E11" s="17" t="s">
        <v>113</v>
      </c>
    </row>
    <row r="12">
      <c r="A12" s="17" t="s">
        <v>74</v>
      </c>
      <c r="B12" s="17" t="s">
        <v>75</v>
      </c>
      <c r="C12" s="17" t="s">
        <v>114</v>
      </c>
      <c r="D12" s="17" t="s">
        <v>115</v>
      </c>
      <c r="E12" s="17" t="s">
        <v>116</v>
      </c>
    </row>
    <row r="13">
      <c r="A13" s="17" t="s">
        <v>74</v>
      </c>
      <c r="B13" s="17" t="s">
        <v>75</v>
      </c>
      <c r="C13" s="17" t="s">
        <v>117</v>
      </c>
      <c r="D13" s="17" t="s">
        <v>118</v>
      </c>
      <c r="E13" s="17" t="s">
        <v>119</v>
      </c>
    </row>
    <row r="14">
      <c r="A14" s="16" t="s">
        <v>81</v>
      </c>
      <c r="B14" s="16" t="s">
        <v>82</v>
      </c>
      <c r="C14" s="16" t="s">
        <v>105</v>
      </c>
      <c r="D14" s="16" t="s">
        <v>120</v>
      </c>
      <c r="E14" s="16" t="s">
        <v>121</v>
      </c>
    </row>
    <row r="15">
      <c r="A15" s="17" t="s">
        <v>81</v>
      </c>
      <c r="B15" s="17" t="s">
        <v>82</v>
      </c>
      <c r="C15" s="17" t="s">
        <v>108</v>
      </c>
      <c r="D15" s="17" t="s">
        <v>122</v>
      </c>
      <c r="E15" s="17" t="s">
        <v>123</v>
      </c>
    </row>
    <row r="16">
      <c r="A16" s="17" t="s">
        <v>81</v>
      </c>
      <c r="B16" s="17" t="s">
        <v>82</v>
      </c>
      <c r="C16" s="17" t="s">
        <v>111</v>
      </c>
      <c r="D16" s="17" t="s">
        <v>124</v>
      </c>
      <c r="E16" s="17" t="s">
        <v>125</v>
      </c>
    </row>
    <row r="17">
      <c r="A17" s="17" t="s">
        <v>81</v>
      </c>
      <c r="B17" s="17" t="s">
        <v>82</v>
      </c>
      <c r="C17" s="17" t="s">
        <v>114</v>
      </c>
      <c r="D17" s="17" t="s">
        <v>126</v>
      </c>
      <c r="E17" s="17" t="s">
        <v>127</v>
      </c>
    </row>
    <row r="18">
      <c r="A18" s="17" t="s">
        <v>81</v>
      </c>
      <c r="B18" s="17" t="s">
        <v>82</v>
      </c>
      <c r="C18" s="17" t="s">
        <v>117</v>
      </c>
      <c r="D18" s="17" t="s">
        <v>128</v>
      </c>
      <c r="E18" s="17" t="s">
        <v>129</v>
      </c>
    </row>
    <row r="20">
      <c r="A20" s="18" t="s">
        <v>130</v>
      </c>
    </row>
    <row r="21">
      <c r="A21" s="19" t="s">
        <v>131</v>
      </c>
    </row>
    <row r="22">
      <c r="A22" s="19" t="s">
        <v>132</v>
      </c>
    </row>
    <row r="23">
      <c r="A23" s="19" t="s">
        <v>133</v>
      </c>
    </row>
    <row r="24">
      <c r="A24" s="19" t="s">
        <v>134</v>
      </c>
    </row>
    <row r="25">
      <c r="A25" s="19" t="s">
        <v>135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